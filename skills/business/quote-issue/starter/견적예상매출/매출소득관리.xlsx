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매출소득관리" sheetId="1" state="visible" r:id="rId3"/>
  </sheets>
  <externalReferences>
    <externalReference r:id="rId4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<sst xmlns="http://schemas.openxmlformats.org/spreadsheetml/2006/main" count="17" uniqueCount="17">
  <si>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세금계산서 발급 및 입금</t>
  </si>
  <si>
    <t xml:space="preserve">발급번호</t>
  </si>
  <si>
    <t xml:space="preserve">견적번호</t>
  </si>
  <si>
    <t xml:space="preserve">대상</t>
  </si>
  <si>
    <t xml:space="preserve">견적명</t>
  </si>
  <si>
    <t xml:space="preserve">견적금액
(VAT포함)</t>
  </si>
  <si>
    <t xml:space="preserve">입금일</t>
  </si>
  <si>
    <t xml:space="preserve">입금액</t>
  </si>
  <si>
    <t xml:space="preserve">인건비
(알바 등)</t>
  </si>
  <si>
    <t xml:space="preserve">자재비</t>
  </si>
  <si>
    <t xml:space="preserve">비고</t>
  </si>
  <si>
    <t xml:space="preserve">합계금액</t>
  </si>
  <si>
    <t xml:space="preserve">부가세(10%)</t>
  </si>
  <si>
    <t xml:space="preserve">매출액</t>
  </si>
  <si>
    <t xml:space="preserve">세금 예비비(10%)</t>
  </si>
  <si>
    <t xml:space="preserve">최소 통장유지금액</t>
  </si>
  <si>
    <t xml:space="preserve">영업익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</si>
</sst>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\₩#,##0"/>
    <numFmt numFmtId="167" formatCode="yyyy/mm/dd;@"/>
    <numFmt numFmtId="168" formatCode="\₩#,##0_);[RED]&quot;(₩&quot;#,##0\)"/>
  </numFmts>
  <fonts count="4">
    <font>
      <sz val="11"/>
      <color rgb="FF000000"/>
      <name val="맑은 고딕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&#44204;&#51201;&#49436;&#48156;&#54665;&#45824;&#51109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견적서발행"/>
      <sheetName val="Sheet3"/>
    </sheetNames>
    <sheetDataSet>
      <sheetData sheetId="0">
        <row r="3">
          <cell r="A3">
            <v>1</v>
          </cell>
        </row>
        <row r="3">
          <cell r="H3">
            <v>0</v>
          </cell>
        </row>
        <row r="4">
          <cell r="A4">
            <v>2</v>
          </cell>
        </row>
        <row r="4">
          <cell r="H4">
            <v>0</v>
          </cell>
        </row>
        <row r="5">
          <cell r="A5">
            <v>3</v>
          </cell>
        </row>
        <row r="5">
          <cell r="H5">
            <v>0</v>
          </cell>
        </row>
        <row r="6">
          <cell r="A6">
            <v>4</v>
          </cell>
        </row>
        <row r="6">
          <cell r="H6">
            <v>0</v>
          </cell>
        </row>
        <row r="7">
          <cell r="A7">
            <v>5</v>
          </cell>
        </row>
        <row r="7">
          <cell r="H7">
            <v>0</v>
          </cell>
        </row>
        <row r="8">
          <cell r="A8">
            <v>6</v>
          </cell>
        </row>
        <row r="8">
          <cell r="H8">
            <v>0</v>
          </cell>
        </row>
        <row r="9">
          <cell r="A9">
            <v>7</v>
          </cell>
        </row>
        <row r="9">
          <cell r="H9">
            <v>0</v>
          </cell>
        </row>
        <row r="10">
          <cell r="A10">
            <v>8</v>
          </cell>
        </row>
        <row r="10">
          <cell r="H10">
            <v>0</v>
          </cell>
        </row>
        <row r="11">
          <cell r="A11">
            <v>9</v>
          </cell>
        </row>
        <row r="11">
          <cell r="H11">
            <v>0</v>
          </cell>
        </row>
        <row r="12">
          <cell r="A12">
            <v>10</v>
          </cell>
        </row>
        <row r="12">
          <cell r="H12">
            <v>0</v>
          </cell>
        </row>
        <row r="13">
          <cell r="A13">
            <v>11</v>
          </cell>
        </row>
        <row r="13">
          <cell r="H13">
            <v>0</v>
          </cell>
        </row>
        <row r="14">
          <cell r="A14">
            <v>12</v>
          </cell>
        </row>
        <row r="14">
          <cell r="H14">
            <v>0</v>
          </cell>
        </row>
        <row r="15">
          <cell r="A15">
            <v>13</v>
          </cell>
        </row>
        <row r="15">
          <cell r="H15">
            <v>0</v>
          </cell>
        </row>
        <row r="16">
          <cell r="A16">
            <v>14</v>
          </cell>
        </row>
        <row r="16">
          <cell r="H16">
            <v>0</v>
          </cell>
        </row>
        <row r="17">
          <cell r="A17">
            <v>15</v>
          </cell>
        </row>
        <row r="17">
          <cell r="H17">
            <v>0</v>
          </cell>
        </row>
        <row r="18">
          <cell r="A18">
            <v>16</v>
          </cell>
        </row>
        <row r="18">
          <cell r="H18">
            <v>0</v>
          </cell>
        </row>
        <row r="19">
          <cell r="A19">
            <v>17</v>
          </cell>
        </row>
        <row r="19">
          <cell r="H19">
            <v>0</v>
          </cell>
        </row>
        <row r="20">
          <cell r="A20">
            <v>18</v>
          </cell>
        </row>
        <row r="20">
          <cell r="H20">
            <v>0</v>
          </cell>
        </row>
        <row r="21">
          <cell r="A21">
            <v>19</v>
          </cell>
        </row>
        <row r="21">
          <cell r="H21">
            <v>0</v>
          </cell>
        </row>
        <row r="22">
          <cell r="A22">
            <v>20</v>
          </cell>
        </row>
        <row r="22">
          <cell r="H22">
            <v>0</v>
          </cell>
        </row>
        <row r="23">
          <cell r="A23">
            <v>21</v>
          </cell>
        </row>
        <row r="23">
          <cell r="H23">
            <v>0</v>
          </cell>
        </row>
        <row r="24">
          <cell r="A24">
            <v>22</v>
          </cell>
        </row>
        <row r="24">
          <cell r="H24">
            <v>0</v>
          </cell>
        </row>
        <row r="25">
          <cell r="A25">
            <v>23</v>
          </cell>
        </row>
        <row r="25">
          <cell r="H25">
            <v>0</v>
          </cell>
        </row>
        <row r="26">
          <cell r="A26">
            <v>24</v>
          </cell>
        </row>
        <row r="26">
          <cell r="H26">
            <v>0</v>
          </cell>
        </row>
        <row r="27">
          <cell r="A27">
            <v>25</v>
          </cell>
        </row>
        <row r="27">
          <cell r="H27">
            <v>0</v>
          </cell>
        </row>
        <row r="28">
          <cell r="A28">
            <v>26</v>
          </cell>
        </row>
        <row r="28">
          <cell r="H28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F35" activeCellId="0" sqref="F35"/>
    </sheetView>
  </sheetViews>
  <sheetFormatPr defaultColWidth="8.6640625" defaultRowHeight="16.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23.51"/>
    <col collapsed="false" customWidth="true" hidden="false" outlineLevel="0" max="4" min="4" style="0" width="35.33"/>
    <col collapsed="false" customWidth="true" hidden="false" outlineLevel="0" max="5" min="5" style="0" width="12.92"/>
    <col collapsed="false" customWidth="true" hidden="false" outlineLevel="0" max="6" min="6" style="0" width="17.83"/>
    <col collapsed="false" customWidth="true" hidden="false" outlineLevel="0" max="7" min="7" style="0" width="13.17"/>
    <col collapsed="false" customWidth="true" hidden="false" outlineLevel="0" max="8" min="8" style="0" width="11.75"/>
    <col collapsed="false" customWidth="true" hidden="false" outlineLevel="0" max="9" min="9" style="0" width="12.51"/>
    <col collapsed="false" customWidth="true" hidden="false" outlineLevel="0" max="10" min="10" style="1" width="9"/>
  </cols>
  <sheetData>
    <row r="1" customFormat="false" ht="16.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31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3" t="s">
        <v>10</v>
      </c>
    </row>
    <row r="3" customFormat="false" ht="16.5" hidden="false" customHeight="false" outlineLevel="0" collapsed="false">
      <c r="A3" s="5" t="n">
        <f aca="false">[1]견적서발행!A3</f>
        <v>1</v>
      </c>
      <c r="B3" s="5" t="n">
        <f aca="false">[1]견적서발행!C3</f>
        <v>0</v>
      </c>
      <c r="C3" s="5" t="n">
        <f aca="false">[1]견적서발행!D3</f>
        <v>0</v>
      </c>
      <c r="D3" s="5" t="n">
        <f aca="false">[1]견적서발행!E3</f>
        <v>0</v>
      </c>
      <c r="E3" s="6" t="n">
        <f aca="false">[1]견적서발행!H3</f>
        <v>0</v>
      </c>
      <c r="F3" s="7"/>
      <c r="G3" s="6" t="n">
        <f aca="false">E3</f>
        <v>0</v>
      </c>
      <c r="H3" s="8"/>
      <c r="I3" s="8"/>
      <c r="J3" s="9"/>
    </row>
    <row r="4" customFormat="false" ht="16.5" hidden="false" customHeight="false" outlineLevel="0" collapsed="false">
      <c r="A4" s="5" t="n">
        <f aca="false">[1]견적서발행!A4</f>
        <v>2</v>
      </c>
      <c r="B4" s="5" t="n">
        <f aca="false">[1]견적서발행!C4</f>
        <v>0</v>
      </c>
      <c r="C4" s="5" t="n">
        <f aca="false">[1]견적서발행!D4</f>
        <v>0</v>
      </c>
      <c r="D4" s="5" t="n">
        <f aca="false">[1]견적서발행!E4</f>
        <v>0</v>
      </c>
      <c r="E4" s="6" t="n">
        <f aca="false">[1]견적서발행!H4</f>
        <v>0</v>
      </c>
      <c r="F4" s="7"/>
      <c r="G4" s="6" t="n">
        <f aca="false">E4</f>
        <v>0</v>
      </c>
      <c r="H4" s="8"/>
      <c r="I4" s="8"/>
      <c r="J4" s="9"/>
    </row>
    <row r="5" customFormat="false" ht="16.5" hidden="false" customHeight="false" outlineLevel="0" collapsed="false">
      <c r="A5" s="5" t="n">
        <f aca="false">[1]견적서발행!A5</f>
        <v>3</v>
      </c>
      <c r="B5" s="5" t="n">
        <f aca="false">[1]견적서발행!C5</f>
        <v>0</v>
      </c>
      <c r="C5" s="5" t="n">
        <f aca="false">[1]견적서발행!D5</f>
        <v>0</v>
      </c>
      <c r="D5" s="5" t="n">
        <f aca="false">[1]견적서발행!E5</f>
        <v>0</v>
      </c>
      <c r="E5" s="6" t="n">
        <f aca="false">[1]견적서발행!H5</f>
        <v>0</v>
      </c>
      <c r="F5" s="7"/>
      <c r="G5" s="6" t="n">
        <f aca="false">E5</f>
        <v>0</v>
      </c>
      <c r="H5" s="8"/>
      <c r="I5" s="8"/>
      <c r="J5" s="9"/>
    </row>
    <row r="6" customFormat="false" ht="16.5" hidden="false" customHeight="false" outlineLevel="0" collapsed="false">
      <c r="A6" s="5" t="n">
        <f aca="false">[1]견적서발행!A6</f>
        <v>4</v>
      </c>
      <c r="B6" s="5" t="n">
        <f aca="false">[1]견적서발행!C6</f>
        <v>0</v>
      </c>
      <c r="C6" s="5" t="n">
        <f aca="false">[1]견적서발행!D6</f>
        <v>0</v>
      </c>
      <c r="D6" s="5" t="n">
        <f aca="false">[1]견적서발행!E6</f>
        <v>0</v>
      </c>
      <c r="E6" s="6" t="n">
        <f aca="false">[1]견적서발행!H6</f>
        <v>0</v>
      </c>
      <c r="F6" s="7"/>
      <c r="G6" s="6" t="n">
        <f aca="false">E6</f>
        <v>0</v>
      </c>
      <c r="H6" s="8"/>
      <c r="I6" s="8"/>
      <c r="J6" s="9"/>
    </row>
    <row r="7" customFormat="false" ht="16.5" hidden="false" customHeight="false" outlineLevel="0" collapsed="false">
      <c r="A7" s="5" t="n">
        <f aca="false">[1]견적서발행!A7</f>
        <v>5</v>
      </c>
      <c r="B7" s="5" t="n">
        <f aca="false">[1]견적서발행!C7</f>
        <v>0</v>
      </c>
      <c r="C7" s="5" t="n">
        <f aca="false">[1]견적서발행!D7</f>
        <v>0</v>
      </c>
      <c r="D7" s="5" t="n">
        <f aca="false">[1]견적서발행!E7</f>
        <v>0</v>
      </c>
      <c r="E7" s="6" t="n">
        <f aca="false">[1]견적서발행!H7</f>
        <v>0</v>
      </c>
      <c r="F7" s="7"/>
      <c r="G7" s="6" t="n">
        <f aca="false">E7</f>
        <v>0</v>
      </c>
      <c r="H7" s="8"/>
      <c r="I7" s="8"/>
      <c r="J7" s="9"/>
    </row>
    <row r="8" customFormat="false" ht="16.5" hidden="false" customHeight="false" outlineLevel="0" collapsed="false">
      <c r="A8" s="5" t="n">
        <f aca="false">[1]견적서발행!A8</f>
        <v>6</v>
      </c>
      <c r="B8" s="5" t="n">
        <f aca="false">[1]견적서발행!C8</f>
        <v>0</v>
      </c>
      <c r="C8" s="5" t="n">
        <f aca="false">[1]견적서발행!D8</f>
        <v>0</v>
      </c>
      <c r="D8" s="5" t="n">
        <f aca="false">[1]견적서발행!E8</f>
        <v>0</v>
      </c>
      <c r="E8" s="6" t="n">
        <f aca="false">[1]견적서발행!H8</f>
        <v>0</v>
      </c>
      <c r="F8" s="7"/>
      <c r="G8" s="6" t="n">
        <f aca="false">E8</f>
        <v>0</v>
      </c>
      <c r="H8" s="8"/>
      <c r="I8" s="8"/>
      <c r="J8" s="9"/>
    </row>
    <row r="9" customFormat="false" ht="16.5" hidden="false" customHeight="false" outlineLevel="0" collapsed="false">
      <c r="A9" s="5" t="n">
        <f aca="false">[1]견적서발행!A9</f>
        <v>7</v>
      </c>
      <c r="B9" s="5" t="n">
        <f aca="false">[1]견적서발행!C9</f>
        <v>0</v>
      </c>
      <c r="C9" s="5" t="n">
        <f aca="false">[1]견적서발행!D9</f>
        <v>0</v>
      </c>
      <c r="D9" s="5" t="n">
        <f aca="false">[1]견적서발행!E9</f>
        <v>0</v>
      </c>
      <c r="E9" s="6" t="n">
        <f aca="false">[1]견적서발행!H9</f>
        <v>0</v>
      </c>
      <c r="F9" s="7"/>
      <c r="G9" s="6" t="n">
        <f aca="false">E9</f>
        <v>0</v>
      </c>
      <c r="H9" s="8"/>
      <c r="I9" s="8"/>
      <c r="J9" s="9"/>
    </row>
    <row r="10" customFormat="false" ht="16.5" hidden="false" customHeight="false" outlineLevel="0" collapsed="false">
      <c r="A10" s="5" t="n">
        <f aca="false">[1]견적서발행!A10</f>
        <v>8</v>
      </c>
      <c r="B10" s="5" t="n">
        <f aca="false">[1]견적서발행!C10</f>
        <v>0</v>
      </c>
      <c r="C10" s="5" t="n">
        <f aca="false">[1]견적서발행!D10</f>
        <v>0</v>
      </c>
      <c r="D10" s="5" t="n">
        <f aca="false">[1]견적서발행!E10</f>
        <v>0</v>
      </c>
      <c r="E10" s="6" t="n">
        <f aca="false">[1]견적서발행!H10</f>
        <v>0</v>
      </c>
      <c r="F10" s="7"/>
      <c r="G10" s="6" t="n">
        <f aca="false">E10</f>
        <v>0</v>
      </c>
      <c r="H10" s="8"/>
      <c r="I10" s="8"/>
      <c r="J10" s="9"/>
    </row>
    <row r="11" customFormat="false" ht="16.5" hidden="false" customHeight="false" outlineLevel="0" collapsed="false">
      <c r="A11" s="5" t="n">
        <f aca="false">[1]견적서발행!A11</f>
        <v>9</v>
      </c>
      <c r="B11" s="5" t="n">
        <f aca="false">[1]견적서발행!C11</f>
        <v>0</v>
      </c>
      <c r="C11" s="5" t="n">
        <f aca="false">[1]견적서발행!D11</f>
        <v>0</v>
      </c>
      <c r="D11" s="5" t="n">
        <f aca="false">[1]견적서발행!E11</f>
        <v>0</v>
      </c>
      <c r="E11" s="6" t="n">
        <f aca="false">[1]견적서발행!H11</f>
        <v>0</v>
      </c>
      <c r="F11" s="7"/>
      <c r="G11" s="6" t="n">
        <f aca="false">E11</f>
        <v>0</v>
      </c>
      <c r="H11" s="8"/>
      <c r="I11" s="8"/>
      <c r="J11" s="9"/>
    </row>
    <row r="12" customFormat="false" ht="16.5" hidden="false" customHeight="false" outlineLevel="0" collapsed="false">
      <c r="A12" s="5" t="n">
        <f aca="false">[1]견적서발행!A12</f>
        <v>10</v>
      </c>
      <c r="B12" s="5" t="n">
        <f aca="false">[1]견적서발행!C12</f>
        <v>0</v>
      </c>
      <c r="C12" s="5" t="n">
        <f aca="false">[1]견적서발행!D12</f>
        <v>0</v>
      </c>
      <c r="D12" s="5" t="n">
        <f aca="false">[1]견적서발행!E12</f>
        <v>0</v>
      </c>
      <c r="E12" s="6" t="n">
        <f aca="false">[1]견적서발행!H12</f>
        <v>0</v>
      </c>
      <c r="F12" s="7"/>
      <c r="G12" s="6" t="n">
        <f aca="false">E12</f>
        <v>0</v>
      </c>
      <c r="H12" s="8"/>
      <c r="I12" s="8"/>
      <c r="J12" s="9"/>
    </row>
    <row r="13" customFormat="false" ht="16.5" hidden="false" customHeight="false" outlineLevel="0" collapsed="false">
      <c r="A13" s="5" t="n">
        <f aca="false">[1]견적서발행!A13</f>
        <v>11</v>
      </c>
      <c r="B13" s="5" t="n">
        <f aca="false">[1]견적서발행!C13</f>
        <v>0</v>
      </c>
      <c r="C13" s="5" t="n">
        <f aca="false">[1]견적서발행!D13</f>
        <v>0</v>
      </c>
      <c r="D13" s="5" t="n">
        <f aca="false">[1]견적서발행!E13</f>
        <v>0</v>
      </c>
      <c r="E13" s="6" t="n">
        <f aca="false">[1]견적서발행!H13</f>
        <v>0</v>
      </c>
      <c r="F13" s="7"/>
      <c r="G13" s="6" t="n">
        <f aca="false">E13</f>
        <v>0</v>
      </c>
      <c r="H13" s="8"/>
      <c r="I13" s="8"/>
      <c r="J13" s="9"/>
    </row>
    <row r="14" customFormat="false" ht="16.5" hidden="false" customHeight="false" outlineLevel="0" collapsed="false">
      <c r="A14" s="5" t="n">
        <f aca="false">[1]견적서발행!A14</f>
        <v>12</v>
      </c>
      <c r="B14" s="5" t="n">
        <f aca="false">[1]견적서발행!C14</f>
        <v>0</v>
      </c>
      <c r="C14" s="5" t="n">
        <f aca="false">[1]견적서발행!D14</f>
        <v>0</v>
      </c>
      <c r="D14" s="5" t="n">
        <f aca="false">[1]견적서발행!E14</f>
        <v>0</v>
      </c>
      <c r="E14" s="6" t="n">
        <f aca="false">[1]견적서발행!H14</f>
        <v>0</v>
      </c>
      <c r="F14" s="7"/>
      <c r="G14" s="6" t="n">
        <f aca="false">E14</f>
        <v>0</v>
      </c>
      <c r="H14" s="8"/>
      <c r="I14" s="8"/>
      <c r="J14" s="9"/>
    </row>
    <row r="15" customFormat="false" ht="16.5" hidden="false" customHeight="false" outlineLevel="0" collapsed="false">
      <c r="A15" s="5" t="n">
        <f aca="false">[1]견적서발행!A15</f>
        <v>13</v>
      </c>
      <c r="B15" s="5" t="n">
        <f aca="false">[1]견적서발행!C15</f>
        <v>0</v>
      </c>
      <c r="C15" s="5" t="n">
        <f aca="false">[1]견적서발행!D15</f>
        <v>0</v>
      </c>
      <c r="D15" s="5" t="n">
        <f aca="false">[1]견적서발행!E15</f>
        <v>0</v>
      </c>
      <c r="E15" s="6" t="n">
        <f aca="false">[1]견적서발행!H15</f>
        <v>0</v>
      </c>
      <c r="F15" s="7"/>
      <c r="G15" s="6" t="n">
        <f aca="false">E15</f>
        <v>0</v>
      </c>
      <c r="H15" s="8"/>
      <c r="I15" s="8"/>
      <c r="J15" s="9"/>
    </row>
    <row r="16" customFormat="false" ht="16.5" hidden="false" customHeight="false" outlineLevel="0" collapsed="false">
      <c r="A16" s="5" t="n">
        <f aca="false">[1]견적서발행!A16</f>
        <v>14</v>
      </c>
      <c r="B16" s="5" t="n">
        <f aca="false">[1]견적서발행!C16</f>
        <v>0</v>
      </c>
      <c r="C16" s="5" t="n">
        <f aca="false">[1]견적서발행!D16</f>
        <v>0</v>
      </c>
      <c r="D16" s="5" t="n">
        <f aca="false">[1]견적서발행!E16</f>
        <v>0</v>
      </c>
      <c r="E16" s="6" t="n">
        <f aca="false">[1]견적서발행!H16</f>
        <v>0</v>
      </c>
      <c r="F16" s="7"/>
      <c r="G16" s="6" t="n">
        <f aca="false">E16</f>
        <v>0</v>
      </c>
      <c r="H16" s="8"/>
      <c r="I16" s="8"/>
      <c r="J16" s="9"/>
    </row>
    <row r="17" customFormat="false" ht="16.5" hidden="false" customHeight="false" outlineLevel="0" collapsed="false">
      <c r="A17" s="5" t="n">
        <f aca="false">[1]견적서발행!A17</f>
        <v>15</v>
      </c>
      <c r="B17" s="5" t="n">
        <f aca="false">[1]견적서발행!C17</f>
        <v>0</v>
      </c>
      <c r="C17" s="5" t="n">
        <f aca="false">[1]견적서발행!D17</f>
        <v>0</v>
      </c>
      <c r="D17" s="5" t="n">
        <f aca="false">[1]견적서발행!E17</f>
        <v>0</v>
      </c>
      <c r="E17" s="6" t="n">
        <f aca="false">[1]견적서발행!H17</f>
        <v>0</v>
      </c>
      <c r="F17" s="7"/>
      <c r="G17" s="6" t="n">
        <f aca="false">E17</f>
        <v>0</v>
      </c>
      <c r="H17" s="8"/>
      <c r="I17" s="8"/>
      <c r="J17" s="9"/>
    </row>
    <row r="18" customFormat="false" ht="16.5" hidden="false" customHeight="false" outlineLevel="0" collapsed="false">
      <c r="A18" s="5" t="n">
        <f aca="false">[1]견적서발행!A18</f>
        <v>16</v>
      </c>
      <c r="B18" s="5" t="n">
        <f aca="false">[1]견적서발행!C18</f>
        <v>0</v>
      </c>
      <c r="C18" s="5" t="n">
        <f aca="false">[1]견적서발행!D18</f>
        <v>0</v>
      </c>
      <c r="D18" s="5" t="n">
        <f aca="false">[1]견적서발행!E18</f>
        <v>0</v>
      </c>
      <c r="E18" s="6" t="n">
        <f aca="false">[1]견적서발행!H18</f>
        <v>0</v>
      </c>
      <c r="F18" s="7"/>
      <c r="G18" s="6" t="n">
        <f aca="false">E18</f>
        <v>0</v>
      </c>
      <c r="H18" s="8"/>
      <c r="I18" s="8"/>
      <c r="J18" s="9"/>
    </row>
    <row r="19" customFormat="false" ht="16.5" hidden="false" customHeight="false" outlineLevel="0" collapsed="false">
      <c r="A19" s="5" t="n">
        <f aca="false">[1]견적서발행!A19</f>
        <v>17</v>
      </c>
      <c r="B19" s="5" t="n">
        <f aca="false">[1]견적서발행!C19</f>
        <v>0</v>
      </c>
      <c r="C19" s="5" t="n">
        <f aca="false">[1]견적서발행!D19</f>
        <v>0</v>
      </c>
      <c r="D19" s="5" t="n">
        <f aca="false">[1]견적서발행!E19</f>
        <v>0</v>
      </c>
      <c r="E19" s="6" t="n">
        <f aca="false">[1]견적서발행!H19</f>
        <v>0</v>
      </c>
      <c r="F19" s="7"/>
      <c r="G19" s="6" t="n">
        <f aca="false">E19</f>
        <v>0</v>
      </c>
      <c r="H19" s="8"/>
      <c r="I19" s="8"/>
      <c r="J19" s="9"/>
    </row>
    <row r="20" customFormat="false" ht="16.5" hidden="false" customHeight="false" outlineLevel="0" collapsed="false">
      <c r="A20" s="5" t="n">
        <f aca="false">[1]견적서발행!A20</f>
        <v>18</v>
      </c>
      <c r="B20" s="5" t="n">
        <f aca="false">[1]견적서발행!C20</f>
        <v>0</v>
      </c>
      <c r="C20" s="5" t="n">
        <f aca="false">[1]견적서발행!D20</f>
        <v>0</v>
      </c>
      <c r="D20" s="5" t="n">
        <f aca="false">[1]견적서발행!E20</f>
        <v>0</v>
      </c>
      <c r="E20" s="6" t="n">
        <f aca="false">[1]견적서발행!H20</f>
        <v>0</v>
      </c>
      <c r="F20" s="7"/>
      <c r="G20" s="6" t="n">
        <f aca="false">E20</f>
        <v>0</v>
      </c>
      <c r="H20" s="8"/>
      <c r="I20" s="8"/>
      <c r="J20" s="9"/>
    </row>
    <row r="21" customFormat="false" ht="16.5" hidden="false" customHeight="false" outlineLevel="0" collapsed="false">
      <c r="A21" s="5" t="n">
        <f aca="false">[1]견적서발행!A21</f>
        <v>19</v>
      </c>
      <c r="B21" s="5" t="n">
        <f aca="false">[1]견적서발행!C21</f>
        <v>0</v>
      </c>
      <c r="C21" s="5" t="n">
        <f aca="false">[1]견적서발행!D21</f>
        <v>0</v>
      </c>
      <c r="D21" s="5" t="n">
        <f aca="false">[1]견적서발행!E21</f>
        <v>0</v>
      </c>
      <c r="E21" s="6" t="n">
        <f aca="false">[1]견적서발행!H21</f>
        <v>0</v>
      </c>
      <c r="F21" s="7"/>
      <c r="G21" s="6" t="n">
        <f aca="false">E21</f>
        <v>0</v>
      </c>
      <c r="H21" s="8"/>
      <c r="I21" s="8"/>
      <c r="J21" s="9"/>
    </row>
    <row r="22" customFormat="false" ht="16.5" hidden="false" customHeight="false" outlineLevel="0" collapsed="false">
      <c r="A22" s="5" t="n">
        <f aca="false">[1]견적서발행!A22</f>
        <v>20</v>
      </c>
      <c r="B22" s="5" t="n">
        <f aca="false">[1]견적서발행!C22</f>
        <v>0</v>
      </c>
      <c r="C22" s="5" t="n">
        <f aca="false">[1]견적서발행!D22</f>
        <v>0</v>
      </c>
      <c r="D22" s="5" t="n">
        <f aca="false">[1]견적서발행!E22</f>
        <v>0</v>
      </c>
      <c r="E22" s="6" t="n">
        <f aca="false">[1]견적서발행!H22</f>
        <v>0</v>
      </c>
      <c r="F22" s="7"/>
      <c r="G22" s="6" t="n">
        <f aca="false">E22</f>
        <v>0</v>
      </c>
      <c r="H22" s="8"/>
      <c r="I22" s="8"/>
      <c r="J22" s="9"/>
    </row>
    <row r="23" customFormat="false" ht="16.5" hidden="false" customHeight="false" outlineLevel="0" collapsed="false">
      <c r="A23" s="5" t="n">
        <f aca="false">[1]견적서발행!A23</f>
        <v>21</v>
      </c>
      <c r="B23" s="5" t="n">
        <f aca="false">[1]견적서발행!C23</f>
        <v>0</v>
      </c>
      <c r="C23" s="5" t="n">
        <f aca="false">[1]견적서발행!D23</f>
        <v>0</v>
      </c>
      <c r="D23" s="5" t="n">
        <f aca="false">[1]견적서발행!E23</f>
        <v>0</v>
      </c>
      <c r="E23" s="6" t="n">
        <f aca="false">[1]견적서발행!H23</f>
        <v>0</v>
      </c>
      <c r="F23" s="7"/>
      <c r="G23" s="6" t="n">
        <f aca="false">E23</f>
        <v>0</v>
      </c>
      <c r="H23" s="8"/>
      <c r="I23" s="8"/>
      <c r="J23" s="9"/>
    </row>
    <row r="24" customFormat="false" ht="16.5" hidden="false" customHeight="false" outlineLevel="0" collapsed="false">
      <c r="A24" s="5" t="n">
        <f aca="false">[1]견적서발행!A24</f>
        <v>22</v>
      </c>
      <c r="B24" s="5" t="n">
        <f aca="false">[1]견적서발행!C24</f>
        <v>0</v>
      </c>
      <c r="C24" s="5" t="n">
        <f aca="false">[1]견적서발행!D24</f>
        <v>0</v>
      </c>
      <c r="D24" s="5" t="n">
        <f aca="false">[1]견적서발행!E24</f>
        <v>0</v>
      </c>
      <c r="E24" s="6" t="n">
        <f aca="false">[1]견적서발행!H24</f>
        <v>0</v>
      </c>
      <c r="F24" s="7"/>
      <c r="G24" s="6" t="n">
        <f aca="false">E24</f>
        <v>0</v>
      </c>
      <c r="H24" s="8"/>
      <c r="I24" s="8"/>
      <c r="J24" s="9"/>
    </row>
    <row r="25" customFormat="false" ht="16.5" hidden="false" customHeight="false" outlineLevel="0" collapsed="false">
      <c r="A25" s="5" t="n">
        <f aca="false">[1]견적서발행!A25</f>
        <v>23</v>
      </c>
      <c r="B25" s="5" t="n">
        <f aca="false">[1]견적서발행!C25</f>
        <v>0</v>
      </c>
      <c r="C25" s="5" t="n">
        <f aca="false">[1]견적서발행!D25</f>
        <v>0</v>
      </c>
      <c r="D25" s="5" t="n">
        <f aca="false">[1]견적서발행!E25</f>
        <v>0</v>
      </c>
      <c r="E25" s="6" t="n">
        <f aca="false">[1]견적서발행!H25</f>
        <v>0</v>
      </c>
      <c r="F25" s="7"/>
      <c r="G25" s="6" t="n">
        <f aca="false">E25</f>
        <v>0</v>
      </c>
      <c r="H25" s="8"/>
      <c r="I25" s="8"/>
      <c r="J25" s="9"/>
    </row>
    <row r="26" customFormat="false" ht="16.5" hidden="false" customHeight="false" outlineLevel="0" collapsed="false">
      <c r="A26" s="5" t="n">
        <f aca="false">[1]견적서발행!A26</f>
        <v>24</v>
      </c>
      <c r="B26" s="5" t="n">
        <f aca="false">[1]견적서발행!C26</f>
        <v>0</v>
      </c>
      <c r="C26" s="5" t="n">
        <f aca="false">[1]견적서발행!D26</f>
        <v>0</v>
      </c>
      <c r="D26" s="5" t="n">
        <f aca="false">[1]견적서발행!E26</f>
        <v>0</v>
      </c>
      <c r="E26" s="6" t="n">
        <f aca="false">[1]견적서발행!H26</f>
        <v>0</v>
      </c>
      <c r="F26" s="7"/>
      <c r="G26" s="6" t="n">
        <f aca="false">E26</f>
        <v>0</v>
      </c>
      <c r="H26" s="8"/>
      <c r="I26" s="8"/>
      <c r="J26" s="9"/>
    </row>
    <row r="27" customFormat="false" ht="16.5" hidden="false" customHeight="false" outlineLevel="0" collapsed="false">
      <c r="A27" s="5" t="n">
        <f aca="false">[1]견적서발행!A27</f>
        <v>25</v>
      </c>
      <c r="B27" s="5" t="n">
        <f aca="false">[1]견적서발행!C27</f>
        <v>0</v>
      </c>
      <c r="C27" s="5" t="n">
        <f aca="false">[1]견적서발행!D27</f>
        <v>0</v>
      </c>
      <c r="D27" s="5" t="n">
        <f aca="false">[1]견적서발행!E27</f>
        <v>0</v>
      </c>
      <c r="E27" s="6" t="n">
        <f aca="false">[1]견적서발행!H27</f>
        <v>0</v>
      </c>
      <c r="F27" s="7"/>
      <c r="G27" s="6" t="n">
        <f aca="false">E27</f>
        <v>0</v>
      </c>
      <c r="H27" s="8"/>
      <c r="I27" s="8"/>
      <c r="J27" s="9"/>
    </row>
    <row r="28" customFormat="false" ht="16.5" hidden="false" customHeight="false" outlineLevel="0" collapsed="false">
      <c r="A28" s="5" t="n">
        <f aca="false">[1]견적서발행!A28</f>
        <v>26</v>
      </c>
      <c r="B28" s="5" t="n">
        <f aca="false">[1]견적서발행!C28</f>
        <v>0</v>
      </c>
      <c r="C28" s="5" t="n">
        <f aca="false">[1]견적서발행!D28</f>
        <v>0</v>
      </c>
      <c r="D28" s="5" t="n">
        <f aca="false">[1]견적서발행!E28</f>
        <v>0</v>
      </c>
      <c r="E28" s="6" t="n">
        <f aca="false">[1]견적서발행!H28</f>
        <v>0</v>
      </c>
      <c r="F28" s="7"/>
      <c r="G28" s="6" t="n">
        <f aca="false">E28</f>
        <v>0</v>
      </c>
      <c r="H28" s="8"/>
      <c r="I28" s="8"/>
      <c r="J28" s="9"/>
    </row>
    <row r="29" customFormat="false" ht="15.75" hidden="false" customHeight="true" outlineLevel="0" collapsed="false">
      <c r="F29" s="5" t="s">
        <v>11</v>
      </c>
      <c r="G29" s="6" t="n">
        <f aca="false">SUMIFS(G3:G28,F3:F28,"&lt;&gt;",G3:G28,"&lt;&gt;")</f>
        <v>0</v>
      </c>
      <c r="H29" s="8" t="n">
        <f aca="false">SUM(H3:H28)</f>
        <v>0</v>
      </c>
      <c r="I29" s="8" t="n">
        <f aca="false">SUM(G29:H29)</f>
        <v>0</v>
      </c>
      <c r="J29" s="9"/>
    </row>
    <row r="30" customFormat="false" ht="16.5" hidden="false" customHeight="false" outlineLevel="0" collapsed="false">
      <c r="F30" s="5" t="s">
        <v>12</v>
      </c>
      <c r="G30" s="6" t="n">
        <f aca="false">G29*0.1</f>
        <v>0</v>
      </c>
      <c r="H30" s="8"/>
      <c r="I30" s="8"/>
      <c r="J30" s="9"/>
    </row>
    <row r="31" customFormat="false" ht="16.5" hidden="false" customHeight="false" outlineLevel="0" collapsed="false">
      <c r="F31" s="5" t="s">
        <v>13</v>
      </c>
      <c r="G31" s="6" t="n">
        <f aca="false">G29-G30</f>
        <v>0</v>
      </c>
      <c r="H31" s="8"/>
      <c r="I31" s="8"/>
      <c r="J31" s="9"/>
    </row>
    <row r="32" customFormat="false" ht="16.5" hidden="false" customHeight="false" outlineLevel="0" collapsed="false">
      <c r="F32" s="5" t="s">
        <v>14</v>
      </c>
      <c r="G32" s="6" t="n">
        <f aca="false">G31*10%</f>
        <v>0</v>
      </c>
      <c r="H32" s="8"/>
      <c r="I32" s="8"/>
      <c r="J32" s="9"/>
    </row>
    <row r="33" customFormat="false" ht="16.5" hidden="false" customHeight="false" outlineLevel="0" collapsed="false">
      <c r="F33" s="5" t="s">
        <v>15</v>
      </c>
      <c r="G33" s="10" t="n">
        <f aca="false">G30+G32</f>
        <v>0</v>
      </c>
      <c r="H33" s="8"/>
      <c r="I33" s="8"/>
      <c r="J33" s="9"/>
    </row>
    <row r="34" customFormat="false" ht="16.5" hidden="false" customHeight="false" outlineLevel="0" collapsed="false">
      <c r="F34" s="5" t="s">
        <v>16</v>
      </c>
      <c r="G34" s="6" t="n">
        <f aca="false">G31-G33-H34-I34</f>
        <v>0</v>
      </c>
      <c r="H34" s="8" t="n">
        <f aca="false">SUM(H3:H28)</f>
        <v>0</v>
      </c>
      <c r="I34" s="8" t="n">
        <f aca="false">SUM(I3:I28)</f>
        <v>0</v>
      </c>
      <c r="J34" s="6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2026-09-17T11:53:59Z</dcterms:created>
  <dc:creator>KeunTak Yang</dc:creator>
  <dc:description/>
  <dc:language>ko-KR</dc:language>
  <cp:lastModifiedBy>KeunTak Yang</cp:lastModifiedBy>
  <dcterms:modified xsi:type="dcterms:W3CDTF">2026-09-20T09:53:41Z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